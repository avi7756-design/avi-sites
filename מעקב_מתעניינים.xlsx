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עקב מתעניינים" sheetId="1" state="visible" r:id="rId1"/>
    <sheet xmlns:r="http://schemas.openxmlformats.org/officeDocument/2006/relationships" name="דשבורד" sheetId="2" state="visible" r:id="rId2"/>
  </sheets>
  <definedNames>
    <definedName name="_xlnm._FilterDatabase" localSheetId="0" hidden="1">'מעקב מתעניינים'!$A$2:$H$52</definedName>
  </definedNames>
  <calcPr calcId="124519" fullCalcOnLoad="1"/>
</workbook>
</file>

<file path=xl/styles.xml><?xml version="1.0" encoding="utf-8"?>
<styleSheet xmlns="http://schemas.openxmlformats.org/spreadsheetml/2006/main">
  <numFmts count="1">
    <numFmt numFmtId="164" formatCode="DD/MM/YYYY"/>
  </numFmts>
  <fonts count="10">
    <font>
      <name val="Calibri"/>
      <family val="2"/>
      <color theme="1"/>
      <sz val="11"/>
      <scheme val="minor"/>
    </font>
    <font>
      <name val="Arial"/>
      <b val="1"/>
      <color rgb="001F4E79"/>
      <sz val="16"/>
    </font>
    <font>
      <name val="Arial"/>
      <b val="1"/>
      <color rgb="00FFFFFF"/>
      <sz val="12"/>
    </font>
    <font>
      <name val="Arial"/>
      <sz val="11"/>
    </font>
    <font>
      <name val="Arial"/>
      <b val="1"/>
      <color rgb="001F4E79"/>
      <sz val="14"/>
    </font>
    <font>
      <name val="Arial"/>
      <b val="1"/>
      <color rgb="001F4E79"/>
      <sz val="20"/>
    </font>
    <font>
      <name val="Arial"/>
      <b val="1"/>
      <color rgb="0027AE60"/>
      <sz val="20"/>
    </font>
    <font>
      <name val="Arial"/>
      <b val="1"/>
      <sz val="11"/>
    </font>
    <font>
      <name val="Arial"/>
      <b val="1"/>
      <sz val="14"/>
    </font>
    <font>
      <name val="Arial"/>
      <color rgb="00888888"/>
      <sz val="10"/>
    </font>
  </fonts>
  <fills count="4">
    <fill>
      <patternFill/>
    </fill>
    <fill>
      <patternFill patternType="gray125"/>
    </fill>
    <fill>
      <patternFill patternType="solid">
        <fgColor rgb="001F4E79"/>
      </patternFill>
    </fill>
    <fill>
      <patternFill patternType="solid">
        <fgColor rgb="00D5F5E3"/>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3" fillId="0" borderId="1" applyAlignment="1" pivotButton="0" quotePrefix="0" xfId="0">
      <alignment horizontal="right" vertical="center" wrapText="1"/>
    </xf>
    <xf numFmtId="0" fontId="4" fillId="0" borderId="0" pivotButton="0" quotePrefix="0" xfId="0"/>
    <xf numFmtId="0" fontId="5" fillId="0" borderId="0" applyAlignment="1" pivotButton="0" quotePrefix="0" xfId="0">
      <alignment horizontal="center" vertical="center" wrapText="1"/>
    </xf>
    <xf numFmtId="0" fontId="6" fillId="3" borderId="0" applyAlignment="1" pivotButton="0" quotePrefix="0" xfId="0">
      <alignment horizontal="center" vertical="center" wrapText="1"/>
    </xf>
    <xf numFmtId="0" fontId="8"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9" fillId="0" borderId="0" pivotButton="0" quotePrefix="0" xfId="0"/>
    <xf numFmtId="164" fontId="9" fillId="0" borderId="0" pivotButton="0" quotePrefix="0" xfId="0"/>
  </cellXfs>
  <cellStyles count="1">
    <cellStyle name="Normal" xfId="0" builtinId="0" hidden="0"/>
  </cellStyles>
  <dxfs count="8">
    <dxf>
      <fill>
        <patternFill patternType="solid">
          <fgColor rgb="00FFF2CC"/>
        </patternFill>
      </fill>
    </dxf>
    <dxf>
      <fill>
        <patternFill patternType="solid">
          <fgColor rgb="00D6EAF8"/>
        </patternFill>
      </fill>
    </dxf>
    <dxf>
      <fill>
        <patternFill patternType="solid">
          <fgColor rgb="00D5F5E3"/>
        </patternFill>
      </fill>
    </dxf>
    <dxf>
      <fill>
        <patternFill patternType="solid">
          <fgColor rgb="00AED6F1"/>
        </patternFill>
      </fill>
    </dxf>
    <dxf>
      <fill>
        <patternFill patternType="solid">
          <fgColor rgb="0082E0AA"/>
        </patternFill>
      </fill>
    </dxf>
    <dxf>
      <fill>
        <patternFill patternType="solid">
          <fgColor rgb="002ECC71"/>
        </patternFill>
      </fill>
    </dxf>
    <dxf>
      <fill>
        <patternFill patternType="solid">
          <fgColor rgb="00FADBD8"/>
        </patternFill>
      </fill>
    </dxf>
    <dxf>
      <fill>
        <patternFill patternType="solid">
          <fgColor rgb="00E8E8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rightToLeft="1" workbookViewId="0">
      <pane ySplit="2" topLeftCell="A3" activePane="bottomLeft" state="frozen"/>
      <selection pane="bottomLeft" activeCell="A1" sqref="A1"/>
    </sheetView>
  </sheetViews>
  <sheetFormatPr baseColWidth="8" defaultRowHeight="15"/>
  <cols>
    <col width="5" customWidth="1" min="1" max="1"/>
    <col width="14" customWidth="1" min="2" max="2"/>
    <col width="18" customWidth="1" min="3" max="3"/>
    <col width="16" customWidth="1" min="4" max="4"/>
    <col width="14" customWidth="1" min="5" max="5"/>
    <col width="16" customWidth="1" min="6" max="6"/>
    <col width="14" customWidth="1" min="7" max="7"/>
    <col width="30" customWidth="1" min="8" max="8"/>
  </cols>
  <sheetData>
    <row r="1" ht="35" customHeight="1">
      <c r="A1" s="1" t="inlineStr">
        <is>
          <t>📋 מעקב מתעניינים — דירה אחי אילת 5</t>
        </is>
      </c>
    </row>
    <row r="2" ht="30" customHeight="1">
      <c r="A2" s="2" t="inlineStr">
        <is>
          <t>#</t>
        </is>
      </c>
      <c r="B2" s="2" t="inlineStr">
        <is>
          <t>תאריך</t>
        </is>
      </c>
      <c r="C2" s="2" t="inlineStr">
        <is>
          <t>שם</t>
        </is>
      </c>
      <c r="D2" s="2" t="inlineStr">
        <is>
          <t>טלפון</t>
        </is>
      </c>
      <c r="E2" s="2" t="inlineStr">
        <is>
          <t>מקור</t>
        </is>
      </c>
      <c r="F2" s="2" t="inlineStr">
        <is>
          <t>סטטוס</t>
        </is>
      </c>
      <c r="G2" s="2" t="inlineStr">
        <is>
          <t>תאריך ביקור</t>
        </is>
      </c>
      <c r="H2" s="2" t="inlineStr">
        <is>
          <t>הערות</t>
        </is>
      </c>
    </row>
    <row r="3">
      <c r="A3" s="3">
        <f>IF(C3&lt;&gt;"",ROW()-2,"")</f>
        <v/>
      </c>
      <c r="B3" s="4">
        <f>IF(C3&lt;&gt;"",IF(B3="",TODAY(),B3),"")</f>
        <v/>
      </c>
      <c r="C3" s="5" t="inlineStr">
        <is>
          <t>יוסי כהן</t>
        </is>
      </c>
      <c r="D3" s="5" t="inlineStr">
        <is>
          <t>052-1234567</t>
        </is>
      </c>
      <c r="E3" s="3" t="inlineStr">
        <is>
          <t>Meta Ads</t>
        </is>
      </c>
      <c r="F3" s="3" t="inlineStr">
        <is>
          <t>דיברנו</t>
        </is>
      </c>
      <c r="G3" s="4" t="n"/>
      <c r="H3" s="5" t="inlineStr">
        <is>
          <t>מתעניין ב-2 חדרים, שאל על חיות</t>
        </is>
      </c>
    </row>
    <row r="4">
      <c r="A4" s="3">
        <f>IF(C4&lt;&gt;"",ROW()-2,"")</f>
        <v/>
      </c>
      <c r="B4" s="4">
        <f>IF(C4&lt;&gt;"",IF(B4="",TODAY(),B4),"")</f>
        <v/>
      </c>
      <c r="C4" s="5" t="inlineStr">
        <is>
          <t>מיכל לוי</t>
        </is>
      </c>
      <c r="D4" s="5" t="inlineStr">
        <is>
          <t>054-9876543</t>
        </is>
      </c>
      <c r="E4" s="3" t="inlineStr">
        <is>
          <t>פייסבוק</t>
        </is>
      </c>
      <c r="F4" s="3" t="inlineStr">
        <is>
          <t>ביקור נקבע</t>
        </is>
      </c>
      <c r="G4" s="4" t="n"/>
      <c r="H4" s="5" t="inlineStr">
        <is>
          <t>רוצה לראות ביום חמישי</t>
        </is>
      </c>
    </row>
    <row r="5">
      <c r="A5" s="3">
        <f>IF(C5&lt;&gt;"",ROW()-2,"")</f>
        <v/>
      </c>
      <c r="B5" s="4">
        <f>IF(C5&lt;&gt;"",IF(B5="",TODAY(),B5),"")</f>
        <v/>
      </c>
      <c r="C5" s="5" t="inlineStr">
        <is>
          <t>אחמד חסן</t>
        </is>
      </c>
      <c r="D5" s="5" t="inlineStr">
        <is>
          <t>050-5551234</t>
        </is>
      </c>
      <c r="E5" s="3" t="inlineStr">
        <is>
          <t>יד2</t>
        </is>
      </c>
      <c r="F5" s="3" t="inlineStr">
        <is>
          <t>פנייה חדשה</t>
        </is>
      </c>
      <c r="G5" s="4" t="n"/>
      <c r="H5" s="5" t="inlineStr">
        <is>
          <t>התקשר, לחזור אליו</t>
        </is>
      </c>
    </row>
    <row r="6">
      <c r="A6" s="3">
        <f>IF(C6&lt;&gt;"",ROW()-2,"")</f>
        <v/>
      </c>
      <c r="B6" s="4">
        <f>IF(C6&lt;&gt;"",IF(B6="",TODAY(),B6),"")</f>
        <v/>
      </c>
      <c r="C6" s="5" t="n"/>
      <c r="D6" s="5" t="n"/>
      <c r="E6" s="3" t="n"/>
      <c r="F6" s="3" t="n"/>
      <c r="G6" s="4" t="n"/>
      <c r="H6" s="5" t="n"/>
    </row>
    <row r="7">
      <c r="A7" s="3">
        <f>IF(C7&lt;&gt;"",ROW()-2,"")</f>
        <v/>
      </c>
      <c r="B7" s="4">
        <f>IF(C7&lt;&gt;"",IF(B7="",TODAY(),B7),"")</f>
        <v/>
      </c>
      <c r="C7" s="5" t="n"/>
      <c r="D7" s="5" t="n"/>
      <c r="E7" s="3" t="n"/>
      <c r="F7" s="3" t="n"/>
      <c r="G7" s="4" t="n"/>
      <c r="H7" s="5" t="n"/>
    </row>
    <row r="8">
      <c r="A8" s="3">
        <f>IF(C8&lt;&gt;"",ROW()-2,"")</f>
        <v/>
      </c>
      <c r="B8" s="4">
        <f>IF(C8&lt;&gt;"",IF(B8="",TODAY(),B8),"")</f>
        <v/>
      </c>
      <c r="C8" s="5" t="n"/>
      <c r="D8" s="5" t="n"/>
      <c r="E8" s="3" t="n"/>
      <c r="F8" s="3" t="n"/>
      <c r="G8" s="4" t="n"/>
      <c r="H8" s="5" t="n"/>
    </row>
    <row r="9">
      <c r="A9" s="3">
        <f>IF(C9&lt;&gt;"",ROW()-2,"")</f>
        <v/>
      </c>
      <c r="B9" s="4">
        <f>IF(C9&lt;&gt;"",IF(B9="",TODAY(),B9),"")</f>
        <v/>
      </c>
      <c r="C9" s="5" t="n"/>
      <c r="D9" s="5" t="n"/>
      <c r="E9" s="3" t="n"/>
      <c r="F9" s="3" t="n"/>
      <c r="G9" s="4" t="n"/>
      <c r="H9" s="5" t="n"/>
    </row>
    <row r="10">
      <c r="A10" s="3">
        <f>IF(C10&lt;&gt;"",ROW()-2,"")</f>
        <v/>
      </c>
      <c r="B10" s="4">
        <f>IF(C10&lt;&gt;"",IF(B10="",TODAY(),B10),"")</f>
        <v/>
      </c>
      <c r="C10" s="5" t="n"/>
      <c r="D10" s="5" t="n"/>
      <c r="E10" s="3" t="n"/>
      <c r="F10" s="3" t="n"/>
      <c r="G10" s="4" t="n"/>
      <c r="H10" s="5" t="n"/>
    </row>
    <row r="11">
      <c r="A11" s="3">
        <f>IF(C11&lt;&gt;"",ROW()-2,"")</f>
        <v/>
      </c>
      <c r="B11" s="4">
        <f>IF(C11&lt;&gt;"",IF(B11="",TODAY(),B11),"")</f>
        <v/>
      </c>
      <c r="C11" s="5" t="n"/>
      <c r="D11" s="5" t="n"/>
      <c r="E11" s="3" t="n"/>
      <c r="F11" s="3" t="n"/>
      <c r="G11" s="4" t="n"/>
      <c r="H11" s="5" t="n"/>
    </row>
    <row r="12">
      <c r="A12" s="3">
        <f>IF(C12&lt;&gt;"",ROW()-2,"")</f>
        <v/>
      </c>
      <c r="B12" s="4">
        <f>IF(C12&lt;&gt;"",IF(B12="",TODAY(),B12),"")</f>
        <v/>
      </c>
      <c r="C12" s="5" t="n"/>
      <c r="D12" s="5" t="n"/>
      <c r="E12" s="3" t="n"/>
      <c r="F12" s="3" t="n"/>
      <c r="G12" s="4" t="n"/>
      <c r="H12" s="5" t="n"/>
    </row>
    <row r="13">
      <c r="A13" s="3">
        <f>IF(C13&lt;&gt;"",ROW()-2,"")</f>
        <v/>
      </c>
      <c r="B13" s="4">
        <f>IF(C13&lt;&gt;"",IF(B13="",TODAY(),B13),"")</f>
        <v/>
      </c>
      <c r="C13" s="5" t="n"/>
      <c r="D13" s="5" t="n"/>
      <c r="E13" s="3" t="n"/>
      <c r="F13" s="3" t="n"/>
      <c r="G13" s="4" t="n"/>
      <c r="H13" s="5" t="n"/>
    </row>
    <row r="14">
      <c r="A14" s="3">
        <f>IF(C14&lt;&gt;"",ROW()-2,"")</f>
        <v/>
      </c>
      <c r="B14" s="4">
        <f>IF(C14&lt;&gt;"",IF(B14="",TODAY(),B14),"")</f>
        <v/>
      </c>
      <c r="C14" s="5" t="n"/>
      <c r="D14" s="5" t="n"/>
      <c r="E14" s="3" t="n"/>
      <c r="F14" s="3" t="n"/>
      <c r="G14" s="4" t="n"/>
      <c r="H14" s="5" t="n"/>
    </row>
    <row r="15">
      <c r="A15" s="3">
        <f>IF(C15&lt;&gt;"",ROW()-2,"")</f>
        <v/>
      </c>
      <c r="B15" s="4">
        <f>IF(C15&lt;&gt;"",IF(B15="",TODAY(),B15),"")</f>
        <v/>
      </c>
      <c r="C15" s="5" t="n"/>
      <c r="D15" s="5" t="n"/>
      <c r="E15" s="3" t="n"/>
      <c r="F15" s="3" t="n"/>
      <c r="G15" s="4" t="n"/>
      <c r="H15" s="5" t="n"/>
    </row>
    <row r="16">
      <c r="A16" s="3">
        <f>IF(C16&lt;&gt;"",ROW()-2,"")</f>
        <v/>
      </c>
      <c r="B16" s="4">
        <f>IF(C16&lt;&gt;"",IF(B16="",TODAY(),B16),"")</f>
        <v/>
      </c>
      <c r="C16" s="5" t="n"/>
      <c r="D16" s="5" t="n"/>
      <c r="E16" s="3" t="n"/>
      <c r="F16" s="3" t="n"/>
      <c r="G16" s="4" t="n"/>
      <c r="H16" s="5" t="n"/>
    </row>
    <row r="17">
      <c r="A17" s="3">
        <f>IF(C17&lt;&gt;"",ROW()-2,"")</f>
        <v/>
      </c>
      <c r="B17" s="4">
        <f>IF(C17&lt;&gt;"",IF(B17="",TODAY(),B17),"")</f>
        <v/>
      </c>
      <c r="C17" s="5" t="n"/>
      <c r="D17" s="5" t="n"/>
      <c r="E17" s="3" t="n"/>
      <c r="F17" s="3" t="n"/>
      <c r="G17" s="4" t="n"/>
      <c r="H17" s="5" t="n"/>
    </row>
    <row r="18">
      <c r="A18" s="3">
        <f>IF(C18&lt;&gt;"",ROW()-2,"")</f>
        <v/>
      </c>
      <c r="B18" s="4">
        <f>IF(C18&lt;&gt;"",IF(B18="",TODAY(),B18),"")</f>
        <v/>
      </c>
      <c r="C18" s="5" t="n"/>
      <c r="D18" s="5" t="n"/>
      <c r="E18" s="3" t="n"/>
      <c r="F18" s="3" t="n"/>
      <c r="G18" s="4" t="n"/>
      <c r="H18" s="5" t="n"/>
    </row>
    <row r="19">
      <c r="A19" s="3">
        <f>IF(C19&lt;&gt;"",ROW()-2,"")</f>
        <v/>
      </c>
      <c r="B19" s="4">
        <f>IF(C19&lt;&gt;"",IF(B19="",TODAY(),B19),"")</f>
        <v/>
      </c>
      <c r="C19" s="5" t="n"/>
      <c r="D19" s="5" t="n"/>
      <c r="E19" s="3" t="n"/>
      <c r="F19" s="3" t="n"/>
      <c r="G19" s="4" t="n"/>
      <c r="H19" s="5" t="n"/>
    </row>
    <row r="20">
      <c r="A20" s="3">
        <f>IF(C20&lt;&gt;"",ROW()-2,"")</f>
        <v/>
      </c>
      <c r="B20" s="4">
        <f>IF(C20&lt;&gt;"",IF(B20="",TODAY(),B20),"")</f>
        <v/>
      </c>
      <c r="C20" s="5" t="n"/>
      <c r="D20" s="5" t="n"/>
      <c r="E20" s="3" t="n"/>
      <c r="F20" s="3" t="n"/>
      <c r="G20" s="4" t="n"/>
      <c r="H20" s="5" t="n"/>
    </row>
    <row r="21">
      <c r="A21" s="3">
        <f>IF(C21&lt;&gt;"",ROW()-2,"")</f>
        <v/>
      </c>
      <c r="B21" s="4">
        <f>IF(C21&lt;&gt;"",IF(B21="",TODAY(),B21),"")</f>
        <v/>
      </c>
      <c r="C21" s="5" t="n"/>
      <c r="D21" s="5" t="n"/>
      <c r="E21" s="3" t="n"/>
      <c r="F21" s="3" t="n"/>
      <c r="G21" s="4" t="n"/>
      <c r="H21" s="5" t="n"/>
    </row>
    <row r="22">
      <c r="A22" s="3">
        <f>IF(C22&lt;&gt;"",ROW()-2,"")</f>
        <v/>
      </c>
      <c r="B22" s="4">
        <f>IF(C22&lt;&gt;"",IF(B22="",TODAY(),B22),"")</f>
        <v/>
      </c>
      <c r="C22" s="5" t="n"/>
      <c r="D22" s="5" t="n"/>
      <c r="E22" s="3" t="n"/>
      <c r="F22" s="3" t="n"/>
      <c r="G22" s="4" t="n"/>
      <c r="H22" s="5" t="n"/>
    </row>
    <row r="23">
      <c r="A23" s="3">
        <f>IF(C23&lt;&gt;"",ROW()-2,"")</f>
        <v/>
      </c>
      <c r="B23" s="4">
        <f>IF(C23&lt;&gt;"",IF(B23="",TODAY(),B23),"")</f>
        <v/>
      </c>
      <c r="C23" s="5" t="n"/>
      <c r="D23" s="5" t="n"/>
      <c r="E23" s="3" t="n"/>
      <c r="F23" s="3" t="n"/>
      <c r="G23" s="4" t="n"/>
      <c r="H23" s="5" t="n"/>
    </row>
    <row r="24">
      <c r="A24" s="3">
        <f>IF(C24&lt;&gt;"",ROW()-2,"")</f>
        <v/>
      </c>
      <c r="B24" s="4">
        <f>IF(C24&lt;&gt;"",IF(B24="",TODAY(),B24),"")</f>
        <v/>
      </c>
      <c r="C24" s="5" t="n"/>
      <c r="D24" s="5" t="n"/>
      <c r="E24" s="3" t="n"/>
      <c r="F24" s="3" t="n"/>
      <c r="G24" s="4" t="n"/>
      <c r="H24" s="5" t="n"/>
    </row>
    <row r="25">
      <c r="A25" s="3">
        <f>IF(C25&lt;&gt;"",ROW()-2,"")</f>
        <v/>
      </c>
      <c r="B25" s="4">
        <f>IF(C25&lt;&gt;"",IF(B25="",TODAY(),B25),"")</f>
        <v/>
      </c>
      <c r="C25" s="5" t="n"/>
      <c r="D25" s="5" t="n"/>
      <c r="E25" s="3" t="n"/>
      <c r="F25" s="3" t="n"/>
      <c r="G25" s="4" t="n"/>
      <c r="H25" s="5" t="n"/>
    </row>
    <row r="26">
      <c r="A26" s="3">
        <f>IF(C26&lt;&gt;"",ROW()-2,"")</f>
        <v/>
      </c>
      <c r="B26" s="4">
        <f>IF(C26&lt;&gt;"",IF(B26="",TODAY(),B26),"")</f>
        <v/>
      </c>
      <c r="C26" s="5" t="n"/>
      <c r="D26" s="5" t="n"/>
      <c r="E26" s="3" t="n"/>
      <c r="F26" s="3" t="n"/>
      <c r="G26" s="4" t="n"/>
      <c r="H26" s="5" t="n"/>
    </row>
    <row r="27">
      <c r="A27" s="3">
        <f>IF(C27&lt;&gt;"",ROW()-2,"")</f>
        <v/>
      </c>
      <c r="B27" s="4">
        <f>IF(C27&lt;&gt;"",IF(B27="",TODAY(),B27),"")</f>
        <v/>
      </c>
      <c r="C27" s="5" t="n"/>
      <c r="D27" s="5" t="n"/>
      <c r="E27" s="3" t="n"/>
      <c r="F27" s="3" t="n"/>
      <c r="G27" s="4" t="n"/>
      <c r="H27" s="5" t="n"/>
    </row>
    <row r="28">
      <c r="A28" s="3">
        <f>IF(C28&lt;&gt;"",ROW()-2,"")</f>
        <v/>
      </c>
      <c r="B28" s="4">
        <f>IF(C28&lt;&gt;"",IF(B28="",TODAY(),B28),"")</f>
        <v/>
      </c>
      <c r="C28" s="5" t="n"/>
      <c r="D28" s="5" t="n"/>
      <c r="E28" s="3" t="n"/>
      <c r="F28" s="3" t="n"/>
      <c r="G28" s="4" t="n"/>
      <c r="H28" s="5" t="n"/>
    </row>
    <row r="29">
      <c r="A29" s="3">
        <f>IF(C29&lt;&gt;"",ROW()-2,"")</f>
        <v/>
      </c>
      <c r="B29" s="4">
        <f>IF(C29&lt;&gt;"",IF(B29="",TODAY(),B29),"")</f>
        <v/>
      </c>
      <c r="C29" s="5" t="n"/>
      <c r="D29" s="5" t="n"/>
      <c r="E29" s="3" t="n"/>
      <c r="F29" s="3" t="n"/>
      <c r="G29" s="4" t="n"/>
      <c r="H29" s="5" t="n"/>
    </row>
    <row r="30">
      <c r="A30" s="3">
        <f>IF(C30&lt;&gt;"",ROW()-2,"")</f>
        <v/>
      </c>
      <c r="B30" s="4">
        <f>IF(C30&lt;&gt;"",IF(B30="",TODAY(),B30),"")</f>
        <v/>
      </c>
      <c r="C30" s="5" t="n"/>
      <c r="D30" s="5" t="n"/>
      <c r="E30" s="3" t="n"/>
      <c r="F30" s="3" t="n"/>
      <c r="G30" s="4" t="n"/>
      <c r="H30" s="5" t="n"/>
    </row>
    <row r="31">
      <c r="A31" s="3">
        <f>IF(C31&lt;&gt;"",ROW()-2,"")</f>
        <v/>
      </c>
      <c r="B31" s="4">
        <f>IF(C31&lt;&gt;"",IF(B31="",TODAY(),B31),"")</f>
        <v/>
      </c>
      <c r="C31" s="5" t="n"/>
      <c r="D31" s="5" t="n"/>
      <c r="E31" s="3" t="n"/>
      <c r="F31" s="3" t="n"/>
      <c r="G31" s="4" t="n"/>
      <c r="H31" s="5" t="n"/>
    </row>
    <row r="32">
      <c r="A32" s="3">
        <f>IF(C32&lt;&gt;"",ROW()-2,"")</f>
        <v/>
      </c>
      <c r="B32" s="4">
        <f>IF(C32&lt;&gt;"",IF(B32="",TODAY(),B32),"")</f>
        <v/>
      </c>
      <c r="C32" s="5" t="n"/>
      <c r="D32" s="5" t="n"/>
      <c r="E32" s="3" t="n"/>
      <c r="F32" s="3" t="n"/>
      <c r="G32" s="4" t="n"/>
      <c r="H32" s="5" t="n"/>
    </row>
    <row r="33">
      <c r="A33" s="3">
        <f>IF(C33&lt;&gt;"",ROW()-2,"")</f>
        <v/>
      </c>
      <c r="B33" s="4">
        <f>IF(C33&lt;&gt;"",IF(B33="",TODAY(),B33),"")</f>
        <v/>
      </c>
      <c r="C33" s="5" t="n"/>
      <c r="D33" s="5" t="n"/>
      <c r="E33" s="3" t="n"/>
      <c r="F33" s="3" t="n"/>
      <c r="G33" s="4" t="n"/>
      <c r="H33" s="5" t="n"/>
    </row>
    <row r="34">
      <c r="A34" s="3">
        <f>IF(C34&lt;&gt;"",ROW()-2,"")</f>
        <v/>
      </c>
      <c r="B34" s="4">
        <f>IF(C34&lt;&gt;"",IF(B34="",TODAY(),B34),"")</f>
        <v/>
      </c>
      <c r="C34" s="5" t="n"/>
      <c r="D34" s="5" t="n"/>
      <c r="E34" s="3" t="n"/>
      <c r="F34" s="3" t="n"/>
      <c r="G34" s="4" t="n"/>
      <c r="H34" s="5" t="n"/>
    </row>
    <row r="35">
      <c r="A35" s="3">
        <f>IF(C35&lt;&gt;"",ROW()-2,"")</f>
        <v/>
      </c>
      <c r="B35" s="4">
        <f>IF(C35&lt;&gt;"",IF(B35="",TODAY(),B35),"")</f>
        <v/>
      </c>
      <c r="C35" s="5" t="n"/>
      <c r="D35" s="5" t="n"/>
      <c r="E35" s="3" t="n"/>
      <c r="F35" s="3" t="n"/>
      <c r="G35" s="4" t="n"/>
      <c r="H35" s="5" t="n"/>
    </row>
    <row r="36">
      <c r="A36" s="3">
        <f>IF(C36&lt;&gt;"",ROW()-2,"")</f>
        <v/>
      </c>
      <c r="B36" s="4">
        <f>IF(C36&lt;&gt;"",IF(B36="",TODAY(),B36),"")</f>
        <v/>
      </c>
      <c r="C36" s="5" t="n"/>
      <c r="D36" s="5" t="n"/>
      <c r="E36" s="3" t="n"/>
      <c r="F36" s="3" t="n"/>
      <c r="G36" s="4" t="n"/>
      <c r="H36" s="5" t="n"/>
    </row>
    <row r="37">
      <c r="A37" s="3">
        <f>IF(C37&lt;&gt;"",ROW()-2,"")</f>
        <v/>
      </c>
      <c r="B37" s="4">
        <f>IF(C37&lt;&gt;"",IF(B37="",TODAY(),B37),"")</f>
        <v/>
      </c>
      <c r="C37" s="5" t="n"/>
      <c r="D37" s="5" t="n"/>
      <c r="E37" s="3" t="n"/>
      <c r="F37" s="3" t="n"/>
      <c r="G37" s="4" t="n"/>
      <c r="H37" s="5" t="n"/>
    </row>
    <row r="38">
      <c r="A38" s="3">
        <f>IF(C38&lt;&gt;"",ROW()-2,"")</f>
        <v/>
      </c>
      <c r="B38" s="4">
        <f>IF(C38&lt;&gt;"",IF(B38="",TODAY(),B38),"")</f>
        <v/>
      </c>
      <c r="C38" s="5" t="n"/>
      <c r="D38" s="5" t="n"/>
      <c r="E38" s="3" t="n"/>
      <c r="F38" s="3" t="n"/>
      <c r="G38" s="4" t="n"/>
      <c r="H38" s="5" t="n"/>
    </row>
    <row r="39">
      <c r="A39" s="3">
        <f>IF(C39&lt;&gt;"",ROW()-2,"")</f>
        <v/>
      </c>
      <c r="B39" s="4">
        <f>IF(C39&lt;&gt;"",IF(B39="",TODAY(),B39),"")</f>
        <v/>
      </c>
      <c r="C39" s="5" t="n"/>
      <c r="D39" s="5" t="n"/>
      <c r="E39" s="3" t="n"/>
      <c r="F39" s="3" t="n"/>
      <c r="G39" s="4" t="n"/>
      <c r="H39" s="5" t="n"/>
    </row>
    <row r="40">
      <c r="A40" s="3">
        <f>IF(C40&lt;&gt;"",ROW()-2,"")</f>
        <v/>
      </c>
      <c r="B40" s="4">
        <f>IF(C40&lt;&gt;"",IF(B40="",TODAY(),B40),"")</f>
        <v/>
      </c>
      <c r="C40" s="5" t="n"/>
      <c r="D40" s="5" t="n"/>
      <c r="E40" s="3" t="n"/>
      <c r="F40" s="3" t="n"/>
      <c r="G40" s="4" t="n"/>
      <c r="H40" s="5" t="n"/>
    </row>
    <row r="41">
      <c r="A41" s="3">
        <f>IF(C41&lt;&gt;"",ROW()-2,"")</f>
        <v/>
      </c>
      <c r="B41" s="4">
        <f>IF(C41&lt;&gt;"",IF(B41="",TODAY(),B41),"")</f>
        <v/>
      </c>
      <c r="C41" s="5" t="n"/>
      <c r="D41" s="5" t="n"/>
      <c r="E41" s="3" t="n"/>
      <c r="F41" s="3" t="n"/>
      <c r="G41" s="4" t="n"/>
      <c r="H41" s="5" t="n"/>
    </row>
    <row r="42">
      <c r="A42" s="3">
        <f>IF(C42&lt;&gt;"",ROW()-2,"")</f>
        <v/>
      </c>
      <c r="B42" s="4">
        <f>IF(C42&lt;&gt;"",IF(B42="",TODAY(),B42),"")</f>
        <v/>
      </c>
      <c r="C42" s="5" t="n"/>
      <c r="D42" s="5" t="n"/>
      <c r="E42" s="3" t="n"/>
      <c r="F42" s="3" t="n"/>
      <c r="G42" s="4" t="n"/>
      <c r="H42" s="5" t="n"/>
    </row>
    <row r="43">
      <c r="A43" s="3">
        <f>IF(C43&lt;&gt;"",ROW()-2,"")</f>
        <v/>
      </c>
      <c r="B43" s="4">
        <f>IF(C43&lt;&gt;"",IF(B43="",TODAY(),B43),"")</f>
        <v/>
      </c>
      <c r="C43" s="5" t="n"/>
      <c r="D43" s="5" t="n"/>
      <c r="E43" s="3" t="n"/>
      <c r="F43" s="3" t="n"/>
      <c r="G43" s="4" t="n"/>
      <c r="H43" s="5" t="n"/>
    </row>
    <row r="44">
      <c r="A44" s="3">
        <f>IF(C44&lt;&gt;"",ROW()-2,"")</f>
        <v/>
      </c>
      <c r="B44" s="4">
        <f>IF(C44&lt;&gt;"",IF(B44="",TODAY(),B44),"")</f>
        <v/>
      </c>
      <c r="C44" s="5" t="n"/>
      <c r="D44" s="5" t="n"/>
      <c r="E44" s="3" t="n"/>
      <c r="F44" s="3" t="n"/>
      <c r="G44" s="4" t="n"/>
      <c r="H44" s="5" t="n"/>
    </row>
    <row r="45">
      <c r="A45" s="3">
        <f>IF(C45&lt;&gt;"",ROW()-2,"")</f>
        <v/>
      </c>
      <c r="B45" s="4">
        <f>IF(C45&lt;&gt;"",IF(B45="",TODAY(),B45),"")</f>
        <v/>
      </c>
      <c r="C45" s="5" t="n"/>
      <c r="D45" s="5" t="n"/>
      <c r="E45" s="3" t="n"/>
      <c r="F45" s="3" t="n"/>
      <c r="G45" s="4" t="n"/>
      <c r="H45" s="5" t="n"/>
    </row>
    <row r="46">
      <c r="A46" s="3">
        <f>IF(C46&lt;&gt;"",ROW()-2,"")</f>
        <v/>
      </c>
      <c r="B46" s="4">
        <f>IF(C46&lt;&gt;"",IF(B46="",TODAY(),B46),"")</f>
        <v/>
      </c>
      <c r="C46" s="5" t="n"/>
      <c r="D46" s="5" t="n"/>
      <c r="E46" s="3" t="n"/>
      <c r="F46" s="3" t="n"/>
      <c r="G46" s="4" t="n"/>
      <c r="H46" s="5" t="n"/>
    </row>
    <row r="47">
      <c r="A47" s="3">
        <f>IF(C47&lt;&gt;"",ROW()-2,"")</f>
        <v/>
      </c>
      <c r="B47" s="4">
        <f>IF(C47&lt;&gt;"",IF(B47="",TODAY(),B47),"")</f>
        <v/>
      </c>
      <c r="C47" s="5" t="n"/>
      <c r="D47" s="5" t="n"/>
      <c r="E47" s="3" t="n"/>
      <c r="F47" s="3" t="n"/>
      <c r="G47" s="4" t="n"/>
      <c r="H47" s="5" t="n"/>
    </row>
    <row r="48">
      <c r="A48" s="3">
        <f>IF(C48&lt;&gt;"",ROW()-2,"")</f>
        <v/>
      </c>
      <c r="B48" s="4">
        <f>IF(C48&lt;&gt;"",IF(B48="",TODAY(),B48),"")</f>
        <v/>
      </c>
      <c r="C48" s="5" t="n"/>
      <c r="D48" s="5" t="n"/>
      <c r="E48" s="3" t="n"/>
      <c r="F48" s="3" t="n"/>
      <c r="G48" s="4" t="n"/>
      <c r="H48" s="5" t="n"/>
    </row>
    <row r="49">
      <c r="A49" s="3">
        <f>IF(C49&lt;&gt;"",ROW()-2,"")</f>
        <v/>
      </c>
      <c r="B49" s="4">
        <f>IF(C49&lt;&gt;"",IF(B49="",TODAY(),B49),"")</f>
        <v/>
      </c>
      <c r="C49" s="5" t="n"/>
      <c r="D49" s="5" t="n"/>
      <c r="E49" s="3" t="n"/>
      <c r="F49" s="3" t="n"/>
      <c r="G49" s="4" t="n"/>
      <c r="H49" s="5" t="n"/>
    </row>
    <row r="50">
      <c r="A50" s="3">
        <f>IF(C50&lt;&gt;"",ROW()-2,"")</f>
        <v/>
      </c>
      <c r="B50" s="4">
        <f>IF(C50&lt;&gt;"",IF(B50="",TODAY(),B50),"")</f>
        <v/>
      </c>
      <c r="C50" s="5" t="n"/>
      <c r="D50" s="5" t="n"/>
      <c r="E50" s="3" t="n"/>
      <c r="F50" s="3" t="n"/>
      <c r="G50" s="4" t="n"/>
      <c r="H50" s="5" t="n"/>
    </row>
    <row r="51">
      <c r="A51" s="3">
        <f>IF(C51&lt;&gt;"",ROW()-2,"")</f>
        <v/>
      </c>
      <c r="B51" s="4">
        <f>IF(C51&lt;&gt;"",IF(B51="",TODAY(),B51),"")</f>
        <v/>
      </c>
      <c r="C51" s="5" t="n"/>
      <c r="D51" s="5" t="n"/>
      <c r="E51" s="3" t="n"/>
      <c r="F51" s="3" t="n"/>
      <c r="G51" s="4" t="n"/>
      <c r="H51" s="5" t="n"/>
    </row>
    <row r="52">
      <c r="A52" s="3">
        <f>IF(C52&lt;&gt;"",ROW()-2,"")</f>
        <v/>
      </c>
      <c r="B52" s="4">
        <f>IF(C52&lt;&gt;"",IF(B52="",TODAY(),B52),"")</f>
        <v/>
      </c>
      <c r="C52" s="5" t="n"/>
      <c r="D52" s="5" t="n"/>
      <c r="E52" s="3" t="n"/>
      <c r="F52" s="3" t="n"/>
      <c r="G52" s="4" t="n"/>
      <c r="H52" s="5" t="n"/>
    </row>
  </sheetData>
  <autoFilter ref="A2:H52"/>
  <mergeCells count="1">
    <mergeCell ref="A1:H1"/>
  </mergeCells>
  <conditionalFormatting sqref="F3:F52">
    <cfRule type="cellIs" priority="1" operator="equal" dxfId="0">
      <formula>"פנייה חדשה"</formula>
    </cfRule>
    <cfRule type="cellIs" priority="2" operator="equal" dxfId="1">
      <formula>"דיברנו"</formula>
    </cfRule>
    <cfRule type="cellIs" priority="3" operator="equal" dxfId="2">
      <formula>"ביקור נקבע"</formula>
    </cfRule>
    <cfRule type="cellIs" priority="4" operator="equal" dxfId="3">
      <formula>"ביקר"</formula>
    </cfRule>
    <cfRule type="cellIs" priority="5" operator="equal" dxfId="4">
      <formula>"מעוניין"</formula>
    </cfRule>
    <cfRule type="cellIs" priority="6" operator="equal" dxfId="5">
      <formula>"סגרנו חוזה"</formula>
    </cfRule>
    <cfRule type="cellIs" priority="7" operator="equal" dxfId="6">
      <formula>"לא מתאים"</formula>
    </cfRule>
    <cfRule type="cellIs" priority="8" operator="equal" dxfId="7">
      <formula>"לא ענה"</formula>
    </cfRule>
  </conditionalFormatting>
  <dataValidations count="2">
    <dataValidation sqref="E3 E4 E5 E6 E7 E8 E9 E10 E11 E12 E13 E14 E15 E16 E17 E18 E19 E20 E21 E22 E23 E24 E25 E26 E27 E28 E29 E30 E31 E32 E33 E34 E35 E36 E37 E38 E39 E40 E41 E42 E43 E44 E45 E46 E47 E48 E49 E50 E51 E52" showDropDown="0" showInputMessage="0" showErrorMessage="0" allowBlank="1" errorTitle="מקור לא תקין" error="בחר מקור מהרשימה" promptTitle="מקור" prompt="בחר מקור פנייה" type="list">
      <formula1>"יד2,מדלן,פייסבוק,וואטסאפ,Meta Ads,הומלס,OnMap,טלפון ישיר,אחר"</formula1>
    </dataValidation>
    <dataValidation sqref="F3 F4 F5 F6 F7 F8 F9 F10 F11 F12 F13 F14 F15 F16 F17 F18 F19 F20 F21 F22 F23 F24 F25 F26 F27 F28 F29 F30 F31 F32 F33 F34 F35 F36 F37 F38 F39 F40 F41 F42 F43 F44 F45 F46 F47 F48 F49 F50 F51 F52" showDropDown="0" showInputMessage="0" showErrorMessage="0" allowBlank="1" errorTitle="סטטוס לא תקין" error="בחר סטטוס מהרשימה" promptTitle="סטטוס" prompt="בחר סטטוס" type="list">
      <formula1>"פנייה חדשה,דיברנו,ביקור נקבע,ביקר,מעוניין,סגרנו חוזה,לא מתאים,לא ענה"</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rightToLeft="1" workbookViewId="0">
      <selection activeCell="A1" sqref="A1"/>
    </sheetView>
  </sheetViews>
  <sheetFormatPr baseColWidth="8" defaultRowHeight="15"/>
  <cols>
    <col width="18" customWidth="1" min="1" max="1"/>
    <col width="10" customWidth="1" min="2" max="2"/>
    <col width="10" customWidth="1" min="3" max="3"/>
    <col width="10" customWidth="1" min="4" max="4"/>
    <col width="18" customWidth="1" min="5" max="5"/>
    <col width="10" customWidth="1" min="6" max="6"/>
  </cols>
  <sheetData>
    <row r="1" ht="35" customHeight="1">
      <c r="A1" s="1" t="inlineStr">
        <is>
          <t>📊 דשבורד מעקב — דירה אחי אילת 5</t>
        </is>
      </c>
    </row>
    <row r="3">
      <c r="A3" s="6" t="inlineStr">
        <is>
          <t>סה"כ פניות</t>
        </is>
      </c>
      <c r="B3" s="7">
        <f>COUNTA('מעקב מתעניינים'!C3:C52)</f>
        <v/>
      </c>
      <c r="C3" s="6" t="inlineStr">
        <is>
          <t>סגרנו חוזה</t>
        </is>
      </c>
      <c r="D3" s="8">
        <f>COUNTIF('מעקב מתעניינים'!F3:F52,"סגרנו חוזה")</f>
        <v/>
      </c>
    </row>
    <row r="5">
      <c r="A5" s="6" t="inlineStr">
        <is>
          <t>📈 פילוח לפי סטטוס</t>
        </is>
      </c>
      <c r="E5" s="6" t="inlineStr">
        <is>
          <t>🎯 משפך המרה</t>
        </is>
      </c>
    </row>
    <row r="6">
      <c r="A6" s="2" t="inlineStr">
        <is>
          <t>סטטוס</t>
        </is>
      </c>
      <c r="B6" s="2" t="inlineStr">
        <is>
          <t>כמות</t>
        </is>
      </c>
      <c r="C6" s="2" t="inlineStr">
        <is>
          <t>אחוז</t>
        </is>
      </c>
      <c r="E6" s="2" t="inlineStr">
        <is>
          <t>שלב</t>
        </is>
      </c>
      <c r="F6" s="2" t="inlineStr">
        <is>
          <t>כמות</t>
        </is>
      </c>
    </row>
    <row r="7">
      <c r="A7" s="5" t="inlineStr">
        <is>
          <t>פנייה חדשה</t>
        </is>
      </c>
      <c r="B7" s="9">
        <f>COUNTIF('מעקב מתעניינים'!F3:F52,A7)</f>
        <v/>
      </c>
      <c r="C7" s="10">
        <f>IF(B$3&gt;0,B7/B$3,"")</f>
        <v/>
      </c>
      <c r="E7" s="5" t="inlineStr">
        <is>
          <t>סה"כ פניות</t>
        </is>
      </c>
      <c r="F7" s="9">
        <f>B3</f>
        <v/>
      </c>
    </row>
    <row r="8">
      <c r="A8" s="5" t="inlineStr">
        <is>
          <t>דיברנו</t>
        </is>
      </c>
      <c r="B8" s="9">
        <f>COUNTIF('מעקב מתעניינים'!F3:F52,A8)</f>
        <v/>
      </c>
      <c r="C8" s="10">
        <f>IF(B$3&gt;0,B8/B$3,"")</f>
        <v/>
      </c>
      <c r="E8" s="5" t="inlineStr">
        <is>
          <t>דיברנו+</t>
        </is>
      </c>
      <c r="F8" s="9">
        <f>COUNTIFS('מעקב מתעניינים'!F3:F52,"&lt;&gt;פנייה חדשה",'מעקב מתעניינים'!F3:F52,"&lt;&gt;לא ענה",'מעקב מתעניינים'!F3:F52,"&lt;&gt;")</f>
        <v/>
      </c>
    </row>
    <row r="9">
      <c r="A9" s="5" t="inlineStr">
        <is>
          <t>ביקור נקבע</t>
        </is>
      </c>
      <c r="B9" s="9">
        <f>COUNTIF('מעקב מתעניינים'!F3:F52,A9)</f>
        <v/>
      </c>
      <c r="C9" s="10">
        <f>IF(B$3&gt;0,B9/B$3,"")</f>
        <v/>
      </c>
      <c r="E9" s="5" t="inlineStr">
        <is>
          <t>ביקרו</t>
        </is>
      </c>
      <c r="F9" s="9">
        <f>COUNTIF('מעקב מתעניינים'!F3:F52,"ביקר")+COUNTIF('מעקב מתעניינים'!F3:F52,"מעוניין")+COUNTIF('מעקב מתעניינים'!F3:F52,"סגרנו חוזה")</f>
        <v/>
      </c>
    </row>
    <row r="10">
      <c r="A10" s="5" t="inlineStr">
        <is>
          <t>ביקר</t>
        </is>
      </c>
      <c r="B10" s="9">
        <f>COUNTIF('מעקב מתעניינים'!F3:F52,A10)</f>
        <v/>
      </c>
      <c r="C10" s="10">
        <f>IF(B$3&gt;0,B10/B$3,"")</f>
        <v/>
      </c>
      <c r="E10" s="5" t="inlineStr">
        <is>
          <t>סגרנו</t>
        </is>
      </c>
      <c r="F10" s="9">
        <f>COUNTIF('מעקב מתעניינים'!F3:F52,"סגרנו חוזה")</f>
        <v/>
      </c>
    </row>
    <row r="11">
      <c r="A11" s="5" t="inlineStr">
        <is>
          <t>מעוניין</t>
        </is>
      </c>
      <c r="B11" s="9">
        <f>COUNTIF('מעקב מתעניינים'!F3:F52,A11)</f>
        <v/>
      </c>
      <c r="C11" s="10">
        <f>IF(B$3&gt;0,B11/B$3,"")</f>
        <v/>
      </c>
    </row>
    <row r="12">
      <c r="A12" s="5" t="inlineStr">
        <is>
          <t>סגרנו חוזה</t>
        </is>
      </c>
      <c r="B12" s="9">
        <f>COUNTIF('מעקב מתעניינים'!F3:F52,A12)</f>
        <v/>
      </c>
      <c r="C12" s="10">
        <f>IF(B$3&gt;0,B12/B$3,"")</f>
        <v/>
      </c>
      <c r="E12" s="11" t="inlineStr">
        <is>
          <t>עודכן לאחרונה:</t>
        </is>
      </c>
      <c r="F12" s="12">
        <f>TODAY()</f>
        <v/>
      </c>
    </row>
    <row r="13">
      <c r="A13" s="5" t="inlineStr">
        <is>
          <t>לא מתאים</t>
        </is>
      </c>
      <c r="B13" s="9">
        <f>COUNTIF('מעקב מתעניינים'!F3:F52,A13)</f>
        <v/>
      </c>
      <c r="C13" s="10">
        <f>IF(B$3&gt;0,B13/B$3,"")</f>
        <v/>
      </c>
    </row>
    <row r="14">
      <c r="A14" s="5" t="inlineStr">
        <is>
          <t>לא ענה</t>
        </is>
      </c>
      <c r="B14" s="9">
        <f>COUNTIF('מעקב מתעניינים'!F3:F52,A14)</f>
        <v/>
      </c>
      <c r="C14" s="10">
        <f>IF(B$3&gt;0,B14/B$3,"")</f>
        <v/>
      </c>
    </row>
    <row r="17">
      <c r="A17" s="6" t="inlineStr">
        <is>
          <t>📡 פילוח לפי מקור</t>
        </is>
      </c>
    </row>
    <row r="18">
      <c r="A18" s="2" t="inlineStr">
        <is>
          <t>מקור</t>
        </is>
      </c>
      <c r="B18" s="2" t="inlineStr">
        <is>
          <t>כמות</t>
        </is>
      </c>
      <c r="C18" s="2" t="inlineStr">
        <is>
          <t>אחוז</t>
        </is>
      </c>
    </row>
    <row r="19">
      <c r="A19" s="5" t="inlineStr">
        <is>
          <t>יד2</t>
        </is>
      </c>
      <c r="B19" s="9">
        <f>COUNTIF('מעקב מתעניינים'!E3:E52,A19)</f>
        <v/>
      </c>
      <c r="C19" s="10">
        <f>IF(B$3&gt;0,B19/B$3,"")</f>
        <v/>
      </c>
    </row>
    <row r="20">
      <c r="A20" s="5" t="inlineStr">
        <is>
          <t>מדלן</t>
        </is>
      </c>
      <c r="B20" s="9">
        <f>COUNTIF('מעקב מתעניינים'!E3:E52,A20)</f>
        <v/>
      </c>
      <c r="C20" s="10">
        <f>IF(B$3&gt;0,B20/B$3,"")</f>
        <v/>
      </c>
    </row>
    <row r="21">
      <c r="A21" s="5" t="inlineStr">
        <is>
          <t>פייסבוק</t>
        </is>
      </c>
      <c r="B21" s="9">
        <f>COUNTIF('מעקב מתעניינים'!E3:E52,A21)</f>
        <v/>
      </c>
      <c r="C21" s="10">
        <f>IF(B$3&gt;0,B21/B$3,"")</f>
        <v/>
      </c>
    </row>
    <row r="22">
      <c r="A22" s="5" t="inlineStr">
        <is>
          <t>וואטסאפ</t>
        </is>
      </c>
      <c r="B22" s="9">
        <f>COUNTIF('מעקב מתעניינים'!E3:E52,A22)</f>
        <v/>
      </c>
      <c r="C22" s="10">
        <f>IF(B$3&gt;0,B22/B$3,"")</f>
        <v/>
      </c>
    </row>
    <row r="23">
      <c r="A23" s="5" t="inlineStr">
        <is>
          <t>Meta Ads</t>
        </is>
      </c>
      <c r="B23" s="9">
        <f>COUNTIF('מעקב מתעניינים'!E3:E52,A23)</f>
        <v/>
      </c>
      <c r="C23" s="10">
        <f>IF(B$3&gt;0,B23/B$3,"")</f>
        <v/>
      </c>
    </row>
    <row r="24">
      <c r="A24" s="5" t="inlineStr">
        <is>
          <t>הומלס</t>
        </is>
      </c>
      <c r="B24" s="9">
        <f>COUNTIF('מעקב מתעניינים'!E3:E52,A24)</f>
        <v/>
      </c>
      <c r="C24" s="10">
        <f>IF(B$3&gt;0,B24/B$3,"")</f>
        <v/>
      </c>
    </row>
    <row r="25">
      <c r="A25" s="5" t="inlineStr">
        <is>
          <t>OnMap</t>
        </is>
      </c>
      <c r="B25" s="9">
        <f>COUNTIF('מעקב מתעניינים'!E3:E52,A25)</f>
        <v/>
      </c>
      <c r="C25" s="10">
        <f>IF(B$3&gt;0,B25/B$3,"")</f>
        <v/>
      </c>
    </row>
    <row r="26">
      <c r="A26" s="5" t="inlineStr">
        <is>
          <t>טלפון ישיר</t>
        </is>
      </c>
      <c r="B26" s="9">
        <f>COUNTIF('מעקב מתעניינים'!E3:E52,A26)</f>
        <v/>
      </c>
      <c r="C26" s="10">
        <f>IF(B$3&gt;0,B26/B$3,"")</f>
        <v/>
      </c>
    </row>
    <row r="27">
      <c r="A27" s="5" t="inlineStr">
        <is>
          <t>אחר</t>
        </is>
      </c>
      <c r="B27" s="9">
        <f>COUNTIF('מעקב מתעניינים'!E3:E52,A27)</f>
        <v/>
      </c>
      <c r="C27" s="10">
        <f>IF(B$3&gt;0,B27/B$3,"")</f>
        <v/>
      </c>
    </row>
  </sheetData>
  <mergeCells count="4">
    <mergeCell ref="A1:D1"/>
    <mergeCell ref="E5:F5"/>
    <mergeCell ref="A17:B17"/>
    <mergeCell ref="A5:B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2026-06-01T09:09:29Z</dcterms:created>
  <dcterms:modified xmlns:dcterms="http://purl.org/dc/terms/" xmlns:xsi="http://www.w3.org/2001/XMLSchema-instance" xsi:type="dcterms:W3CDTF">2026-06-01T09:09:29Z</dcterms:modified>
</cp:coreProperties>
</file>